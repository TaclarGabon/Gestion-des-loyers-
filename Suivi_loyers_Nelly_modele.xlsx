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d70a9cdbdb43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io 1 - Sandrine" sheetId="1" r:id="R9cebf4480f2d49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 &quot;FCFA&quot;"/>
    <x:numFmt numFmtId="201" formatCode="dd/mm/yyyy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34E4A"/>
      <x:name val="Carlito"/>
    </x:font>
    <x:font>
      <x:b/>
      <x:sz val="11"/>
      <x:color rgb="FF115E59"/>
      <x:name val="Carlito"/>
    </x:font>
    <x:font>
      <x:b/>
      <x:sz val="11"/>
      <x:color rgb="FF111827"/>
      <x:name val="Carlito"/>
    </x:font>
    <x:font>
      <x:sz val="11"/>
      <x:color rgb="FF92400E"/>
      <x:name val="Carlito"/>
    </x:font>
    <x:font>
      <x:i/>
      <x:sz val="11"/>
      <x:color rgb="FF1E3A8A"/>
      <x:name val="Carlito"/>
    </x:font>
    <x:font>
      <x:b/>
      <x:sz val="11"/>
      <x:color rgb="FFFFFFFF"/>
      <x:name val="Carlito"/>
    </x:font>
    <x:font>
      <x:b/>
      <x:sz val="11"/>
      <x:color rgb="FF9A3412"/>
      <x:name val="Carlito"/>
    </x:font>
    <x:font>
      <x:i/>
      <x:sz val="11"/>
      <x:color rgb="FF9A3412"/>
      <x:name val="Carlito"/>
    </x:font>
    <x:font>
      <x:sz val="11"/>
      <x:color rgb="FF9A3412"/>
      <x:name val="Carlito"/>
    </x:font>
    <x:font>
      <x:b/>
      <x:sz val="11"/>
      <x:color rgb="FF075985"/>
      <x:name val="Carlito"/>
    </x:font>
    <x:font>
      <x:b/>
      <x:sz val="11"/>
      <x:color rgb="FF991B1B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F0FDFA"/>
      </x:patternFill>
    </x:fill>
    <x:fill>
      <x:patternFill patternType="solid">
        <x:fgColor rgb="FFFFFFFF"/>
      </x:patternFill>
    </x:fill>
    <x:fill>
      <x:patternFill patternType="solid">
        <x:fgColor rgb="FFFFFBEB"/>
      </x:patternFill>
    </x:fill>
    <x:fill>
      <x:patternFill patternType="solid">
        <x:fgColor rgb="FFEFF6FF"/>
      </x:patternFill>
    </x:fill>
    <x:fill>
      <x:patternFill patternType="solid">
        <x:fgColor rgb="FFFFF7ED"/>
      </x:patternFill>
    </x:fill>
    <x:fill>
      <x:patternFill patternType="solid">
        <x:fgColor rgb="FF0F766E"/>
      </x:patternFill>
    </x:fill>
    <x:fill>
      <x:patternFill patternType="solid">
        <x:fgColor rgb="FFFFF7ED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E0F2FE"/>
      </x:patternFill>
    </x:fill>
    <x:fill>
      <x:patternFill patternType="solid">
        <x:fgColor rgb="FFF0FDFA"/>
      </x:patternFill>
    </x:fill>
    <x:fill>
      <x:patternFill patternType="solid">
        <x:fgColor rgb="FFFEF2F2"/>
      </x:patternFill>
    </x:fill>
  </x:fills>
  <x:borders count="2">
    <x:border/>
    <x:border/>
  </x:borders>
  <x:cellStyleXfs count="1">
    <x:xf numFmtId="0" fontId="0" fillId="0" borderId="0"/>
  </x:cellStyleXfs>
  <x:cellXfs count="10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right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200" fontId="8" fillId="8" borderId="0" xfId="0" applyNumberFormat="1" applyFont="1" applyFill="1" applyBorder="1"/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200" fontId="8" fillId="8" borderId="1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/>
    <x:xf numFmtId="200" fontId="4" fillId="11" borderId="0" xfId="0" applyNumberFormat="1" applyFont="1" applyFill="1" applyBorder="1" applyAlignment="1">
      <x:alignment horizontal="right"/>
    </x:xf>
    <x:xf numFmtId="0" fontId="3" fillId="11" xfId="0" applyNumberFormat="1" applyFont="1" applyFill="1" applyBorder="0"/>
    <x:xf numFmtId="200" fontId="4" fillId="11" xfId="0" applyNumberFormat="1" applyFont="1" applyFill="1" applyBorder="0" applyAlignment="1">
      <x:alignment horizontal="right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 applyAlignment="1">
      <x:alignment wrapText="1"/>
    </x:xf>
    <x:xf numFmtId="200" fontId="8" fillId="11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vertical="center" wrapText="1"/>
    </x:xf>
    <x:xf numFmtId="0" fontId="11" fillId="13" borderId="0" xfId="0" applyNumberFormat="1" applyFont="1" applyFill="1" applyBorder="1" applyAlignment="1">
      <x:alignment vertical="center" wrapText="1"/>
    </x:xf>
    <x:xf numFmtId="0" fontId="11" fillId="13" borderId="0" xfId="0" applyNumberFormat="1" applyFont="1" applyFill="1" applyBorder="1" applyAlignment="1">
      <x:alignment horizontal="center" vertical="center" wrapText="1"/>
    </x:xf>
    <x:xf numFmtId="0" fontId="3" fillId="14" borderId="0" xfId="0" applyNumberFormat="1" applyFont="1" applyFill="1" applyBorder="1"/>
    <x:xf numFmtId="0" fontId="3" fillId="14" xfId="0" applyNumberFormat="1" applyFont="1" applyFill="1" applyBorder="0"/>
    <x:xf numFmtId="0" fontId="3" fillId="15" borderId="0" xfId="0" applyNumberFormat="1" applyFont="1" applyFill="1" applyBorder="1"/>
    <x:xf numFmtId="0" fontId="12" fillId="15" borderId="0" xfId="0" applyNumberFormat="1" applyFont="1" applyFill="1" applyBorder="1"/>
    <x:xf numFmtId="200" fontId="12" fillId="11" borderId="0" xfId="0" applyNumberFormat="1" applyFont="1" applyFill="1" applyBorder="1" applyAlignment="1">
      <x:alignment horizontal="right"/>
    </x:xf>
  </x:cellXfs>
  <x:cellStyles count="1">
    <x:cellStyle name="Normal" xfId="0"/>
  </x:cellStyles>
  <x:dxfs count="8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c4fe2bffac4fe7" /><Relationship Type="http://schemas.openxmlformats.org/officeDocument/2006/relationships/theme" Target="/xl/theme/theme1.xml" Id="R48c7d216f8204b41" /><Relationship Type="http://schemas.openxmlformats.org/officeDocument/2006/relationships/sharedStrings" Target="/xl/sharedStrings.xml" Id="Rb46764b20d6a44f6" /><Relationship Type="http://schemas.openxmlformats.org/officeDocument/2006/relationships/worksheet" Target="/xl/worksheets/sheet1.xml" Id="R9cebf4480f2d499e" /></Relationships>
</file>

<file path=xl/tables/table1.xml><?xml version="1.0" encoding="utf-8"?>
<x:table xmlns:x="http://schemas.openxmlformats.org/spreadsheetml/2006/main" id="1" name="Table_Studio_1_-_Sandrine" displayName="Table_Studio_1_-_Sandrine" ref="A11:H25" headerRowCount="1">
  <x:tableColumns count="8">
    <x:tableColumn id="1" name="Date du reçu"/>
    <x:tableColumn id="2" name="Période du loyer"/>
    <x:tableColumn id="3" name="N° du reçu"/>
    <x:tableColumn id="4" name="Montant dû"/>
    <x:tableColumn id="5" name="Montant versé"/>
    <x:tableColumn id="6" name="Solde"/>
    <x:tableColumn id="7" name="Statut"/>
    <x:tableColumn id="8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31e8d943004e8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6" hidden="0" customWidth="1"/>
    <x:col min="5" max="5" width="18" hidden="0" customWidth="1"/>
    <x:col min="6" max="6" width="16" hidden="0" customWidth="1"/>
    <x:col min="7" max="7" width="13" hidden="0" customWidth="1"/>
    <x:col min="8" max="8" width="42" hidden="0" customWidth="1"/>
    <x:col min="9" max="9" width="27" hidden="0" customWidth="1"/>
    <x:col min="10" max="10" width="15" hidden="0" customWidth="1"/>
  </x:cols>
  <x:sheetData>
    <x:row r="1" ht="34" customHeight="1">
      <x:c r="A1" s="5" t="str">
        <x:v>SUIVI DES LOYERS – STUDIO N°1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3" t="str">
        <x:v>Locataire : Mme Sandrine BOUTOTO PANDZA</x:v>
      </x:c>
      <x:c r="B2" s="13"/>
      <x:c r="C2" s="13"/>
      <x:c r="D2" s="13"/>
      <x:c r="E2" s="13"/>
      <x:c r="F2" s="13"/>
      <x:c r="G2" s="13"/>
      <x:c r="H2" s="13"/>
    </x:row>
    <x:row r="4">
      <x:c r="A4" s="105" t="str">
        <x:v>Total dû</x:v>
      </x:c>
      <x:c r="B4" s="91" t="n">
        <x:f>SUM(D12:D25)</x:f>
        <x:v>4740000</x:v>
      </x:c>
    </x:row>
    <x:row r="5">
      <x:c r="A5" s="105" t="str">
        <x:v>Total versé</x:v>
      </x:c>
      <x:c r="B5" s="91" t="n">
        <x:f>SUM(E12:E25)</x:f>
        <x:v>4700000</x:v>
      </x:c>
      <x:c r="D5" s="95" t="str">
        <x:v>Arrangement particulier : les écarts ou déductions convenus ne sont pas affichés comme un reste à payer.</x:v>
      </x:c>
      <x:c r="E5" s="95"/>
      <x:c r="F5" s="95"/>
      <x:c r="G5" s="95"/>
      <x:c r="H5" s="95"/>
    </x:row>
    <x:row r="6">
      <x:c r="A6" s="90"/>
      <x:c r="B6" s="91"/>
      <x:c r="D6" s="95"/>
      <x:c r="E6" s="95"/>
      <x:c r="F6" s="95"/>
      <x:c r="G6" s="95"/>
      <x:c r="H6" s="95"/>
    </x:row>
    <x:row r="7">
      <x:c r="A7" s="90"/>
      <x:c r="B7" s="91"/>
      <x:c r="D7" s="33"/>
      <x:c r="E7" s="33"/>
      <x:c r="F7" s="33"/>
      <x:c r="G7" s="33"/>
      <x:c r="H7" s="33"/>
    </x:row>
    <x:row r="8" ht="28" customHeight="1">
      <x:c r="A8" s="85" t="str">
        <x:v>Échéance Sandrine : le loyer du mois en cours doit être versé entre le 16 et le 19 de ce même mois.</x:v>
      </x:c>
      <x:c r="B8" s="85"/>
      <x:c r="C8" s="85"/>
      <x:c r="D8" s="85"/>
      <x:c r="E8" s="85"/>
      <x:c r="F8" s="85"/>
      <x:c r="G8" s="85"/>
      <x:c r="H8" s="85"/>
      <x:c r="I8" s="85"/>
      <x:c r="J8" s="85"/>
    </x:row>
    <x:row r="9" ht="34" customHeight="1">
      <x:c r="A9" s="41" t="str">
        <x:v>Pour chaque reçu : saisir uniquement la date, le numéro du reçu et le montant versé. Ne pas recopier les autres renseignements bancaires.</x:v>
      </x:c>
      <x:c r="B9" s="41"/>
      <x:c r="C9" s="41"/>
      <x:c r="D9" s="41"/>
      <x:c r="E9" s="41"/>
      <x:c r="F9" s="41"/>
      <x:c r="G9" s="41"/>
      <x:c r="H9" s="41"/>
    </x:row>
    <x:row r="11" ht="30" customHeight="1">
      <x:c r="A11" s="49" t="str">
        <x:v>Date du reçu</x:v>
      </x:c>
      <x:c r="B11" s="49" t="str">
        <x:v>Période du loyer</x:v>
      </x:c>
      <x:c r="C11" s="49" t="str">
        <x:v>N° du reçu</x:v>
      </x:c>
      <x:c r="D11" s="49" t="str">
        <x:v>Montant dû</x:v>
      </x:c>
      <x:c r="E11" s="49" t="str">
        <x:v>Montant versé</x:v>
      </x:c>
      <x:c r="F11" s="49" t="str">
        <x:v>Solde</x:v>
      </x:c>
      <x:c r="G11" s="49" t="str">
        <x:v>Statut</x:v>
      </x:c>
      <x:c r="H11" s="49" t="str">
        <x:v>Note</x:v>
      </x:c>
      <x:c r="I11" s="81" t="str">
        <x:v>Période normale de paiement</x:v>
      </x:c>
      <x:c r="J11" s="81" t="str">
        <x:v>Date limite</x:v>
      </x:c>
    </x:row>
    <x:row r="12">
      <x:c r="A12" s="62" t="n">
        <x:v>45783</x:v>
      </x:c>
      <x:c r="B12" s="63" t="str">
        <x:v>Mai 2025 + caution</x:v>
      </x:c>
      <x:c r="C12" s="63" t="str">
        <x:v>Reçu quittance loyer</x:v>
      </x:c>
      <x:c r="D12" s="64" t="n">
        <x:v>640000</x:v>
      </x:c>
      <x:c r="E12" s="64" t="n">
        <x:v>640000</x:v>
      </x:c>
      <x:c r="F12" s="64" t="n">
        <x:f>D12-IF(E12="",0,E12)</x:f>
        <x:v>0</x:v>
      </x:c>
      <x:c r="G12" s="63" t="str">
        <x:f>IF(E12="","À payer",IF(F12=0,"À jour",IF(F12&gt;0,"Partiel","Crédit")))</x:f>
        <x:v>À jour</x:v>
      </x:c>
      <x:c r="H12" s="63" t="str">
        <x:v>Somme utilisée dans les provisions des travaux du studio n°2</x:v>
      </x:c>
      <x:c r="I12" t="str">
        <x:v>Du 16 au 19 du même mois</x:v>
      </x:c>
      <x:c r="J12" s="54" t="n">
        <x:v>45796</x:v>
      </x:c>
    </x:row>
    <x:row r="13">
      <x:c r="A13" s="62" t="n">
        <x:v>45824</x:v>
      </x:c>
      <x:c r="B13" s="63" t="str">
        <x:v>Juin 2025</x:v>
      </x:c>
      <x:c r="C13" s="63" t="str">
        <x:v>UGB N°624676</x:v>
      </x:c>
      <x:c r="D13" s="64" t="n">
        <x:v>320000</x:v>
      </x:c>
      <x:c r="E13" s="64" t="n">
        <x:v>320000</x:v>
      </x:c>
      <x:c r="F13" s="64" t="n">
        <x:f>D13-IF(E13="",0,E13)</x:f>
        <x:v>0</x:v>
      </x:c>
      <x:c r="G13" s="63" t="str">
        <x:f>IF(E13="","À payer",IF(F13=0,"À jour",IF(F13&gt;0,"Partiel","Crédit")))</x:f>
        <x:v>À jour</x:v>
      </x:c>
      <x:c r="H13" s="63" t="str"/>
      <x:c r="I13" t="str">
        <x:v>Du 16 au 19 du même mois</x:v>
      </x:c>
      <x:c r="J13" s="54" t="n">
        <x:v>45827</x:v>
      </x:c>
    </x:row>
    <x:row r="14">
      <x:c r="A14" s="62" t="n">
        <x:v>44408</x:v>
      </x:c>
      <x:c r="B14" s="63" t="str">
        <x:v>Juillet 2025</x:v>
      </x:c>
      <x:c r="C14" s="63" t="str">
        <x:v>UGB N°630062</x:v>
      </x:c>
      <x:c r="D14" s="64" t="n">
        <x:v>285000</x:v>
      </x:c>
      <x:c r="E14" s="64" t="n">
        <x:v>285000</x:v>
      </x:c>
      <x:c r="F14" s="64" t="n">
        <x:f>D14-IF(E14="",0,E14)</x:f>
        <x:v>0</x:v>
      </x:c>
      <x:c r="G14" s="63" t="str">
        <x:f>IF(E14="","À payer",IF(F14=0,"À jour",IF(F14&gt;0,"Partiel","Crédit")))</x:f>
        <x:v>À jour</x:v>
      </x:c>
      <x:c r="H14" s="63" t="str">
        <x:v>Date du reçu à vérifier dans le fichier d'origine; déduction de 35 000 FCFA pour la réouverture du compteur d'eau</x:v>
      </x:c>
      <x:c r="I14" t="str">
        <x:v>Du 16 au 19 du même mois</x:v>
      </x:c>
      <x:c r="J14" s="54" t="n">
        <x:v>45857</x:v>
      </x:c>
    </x:row>
    <x:row r="15">
      <x:c r="A15" s="62" t="n">
        <x:v>45903</x:v>
      </x:c>
      <x:c r="B15" s="63" t="str">
        <x:v>Août 2025</x:v>
      </x:c>
      <x:c r="C15" s="63" t="str">
        <x:v>UGB N°634368</x:v>
      </x:c>
      <x:c r="D15" s="64" t="n">
        <x:v>295000</x:v>
      </x:c>
      <x:c r="E15" s="64" t="n">
        <x:v>295000</x:v>
      </x:c>
      <x:c r="F15" s="64" t="n">
        <x:f>D15-IF(E15="",0,E15)</x:f>
        <x:v>0</x:v>
      </x:c>
      <x:c r="G15" s="63" t="str">
        <x:f>IF(E15="","À payer",IF(F15=0,"À jour",IF(F15&gt;0,"Partiel","Crédit")))</x:f>
        <x:v>À jour</x:v>
      </x:c>
      <x:c r="H15" s="63" t="str"/>
      <x:c r="I15" t="str">
        <x:v>Du 16 au 19 du même mois</x:v>
      </x:c>
      <x:c r="J15" s="54" t="n">
        <x:v>45888</x:v>
      </x:c>
    </x:row>
    <x:row r="16">
      <x:c r="A16" s="62" t="n">
        <x:v>45918</x:v>
      </x:c>
      <x:c r="B16" s="63" t="str">
        <x:v>Septembre 2025</x:v>
      </x:c>
      <x:c r="C16" s="63" t="str">
        <x:v>UGB N°636530</x:v>
      </x:c>
      <x:c r="D16" s="64" t="n">
        <x:v>320000</x:v>
      </x:c>
      <x:c r="E16" s="64" t="n">
        <x:v>320000</x:v>
      </x:c>
      <x:c r="F16" s="64" t="n">
        <x:f>D16-IF(E16="",0,E16)</x:f>
        <x:v>0</x:v>
      </x:c>
      <x:c r="G16" s="63" t="str">
        <x:f>IF(E16="","À payer",IF(F16=0,"À jour",IF(F16&gt;0,"Partiel","Crédit")))</x:f>
        <x:v>À jour</x:v>
      </x:c>
      <x:c r="H16" s="63" t="str"/>
      <x:c r="I16" t="str">
        <x:v>Du 16 au 19 du même mois</x:v>
      </x:c>
      <x:c r="J16" s="54" t="n">
        <x:v>45919</x:v>
      </x:c>
    </x:row>
    <x:row r="17">
      <x:c r="A17" s="62" t="n">
        <x:v>45959</x:v>
      </x:c>
      <x:c r="B17" s="63" t="str">
        <x:v>Octobre 2025</x:v>
      </x:c>
      <x:c r="C17" s="63" t="str">
        <x:v>UGB N°161503</x:v>
      </x:c>
      <x:c r="D17" s="64" t="n">
        <x:v>320000</x:v>
      </x:c>
      <x:c r="E17" s="64" t="n">
        <x:v>320000</x:v>
      </x:c>
      <x:c r="F17" s="64" t="n">
        <x:f>D17-IF(E17="",0,E17)</x:f>
        <x:v>0</x:v>
      </x:c>
      <x:c r="G17" s="63" t="str">
        <x:f>IF(E17="","À payer",IF(F17=0,"À jour",IF(F17&gt;0,"Partiel","Crédit")))</x:f>
        <x:v>À jour</x:v>
      </x:c>
      <x:c r="H17" s="63" t="str"/>
      <x:c r="I17" t="str">
        <x:v>Du 16 au 19 du même mois</x:v>
      </x:c>
      <x:c r="J17" s="54" t="n">
        <x:v>45949</x:v>
      </x:c>
    </x:row>
    <x:row r="18">
      <x:c r="A18" s="62" t="n">
        <x:v>45979</x:v>
      </x:c>
      <x:c r="B18" s="63" t="str">
        <x:v>Novembre 2025</x:v>
      </x:c>
      <x:c r="C18" s="63" t="str">
        <x:v>UGB N°162216</x:v>
      </x:c>
      <x:c r="D18" s="64" t="n">
        <x:v>320000</x:v>
      </x:c>
      <x:c r="E18" s="64" t="n">
        <x:v>320000</x:v>
      </x:c>
      <x:c r="F18" s="64" t="n">
        <x:f>D18-IF(E18="",0,E18)</x:f>
        <x:v>0</x:v>
      </x:c>
      <x:c r="G18" s="63" t="str">
        <x:f>IF(E18="","À payer",IF(F18=0,"À jour",IF(F18&gt;0,"Partiel","Crédit")))</x:f>
        <x:v>À jour</x:v>
      </x:c>
      <x:c r="H18" s="63" t="str"/>
      <x:c r="I18" t="str">
        <x:v>Du 16 au 19 du même mois</x:v>
      </x:c>
      <x:c r="J18" s="54" t="n">
        <x:v>45980</x:v>
      </x:c>
    </x:row>
    <x:row r="19">
      <x:c r="A19" s="62" t="n">
        <x:v>46008</x:v>
      </x:c>
      <x:c r="B19" s="63" t="str">
        <x:v>Décembre 2025</x:v>
      </x:c>
      <x:c r="C19" s="63" t="str">
        <x:v>UGB N°163419</x:v>
      </x:c>
      <x:c r="D19" s="64" t="n">
        <x:v>320000</x:v>
      </x:c>
      <x:c r="E19" s="64" t="n">
        <x:v>300000</x:v>
      </x:c>
      <x:c r="F19" s="64" t="n">
        <x:f>D19-IF(E19="",0,E19)</x:f>
        <x:v>20000</x:v>
      </x:c>
      <x:c r="G19" s="63" t="str">
        <x:f>IF(E19="","À payer",IF(F19=0,"À jour",IF(F19&gt;0,"Partiel","Crédit")))</x:f>
        <x:v>Partiel</x:v>
      </x:c>
      <x:c r="H19" s="63" t="str">
        <x:v>Déduction de 20 000 FCFA pour des frais d'électricité avancés</x:v>
      </x:c>
      <x:c r="I19" t="str">
        <x:v>Du 16 au 19 du même mois</x:v>
      </x:c>
      <x:c r="J19" s="54" t="n">
        <x:v>46010</x:v>
      </x:c>
    </x:row>
    <x:row r="20">
      <x:c r="A20" s="62" t="n">
        <x:v>46039</x:v>
      </x:c>
      <x:c r="B20" s="63" t="str">
        <x:v>Janvier 2026</x:v>
      </x:c>
      <x:c r="C20" s="63" t="str">
        <x:v>UGB N°164588</x:v>
      </x:c>
      <x:c r="D20" s="64" t="n">
        <x:v>320000</x:v>
      </x:c>
      <x:c r="E20" s="64" t="n">
        <x:v>320000</x:v>
      </x:c>
      <x:c r="F20" s="64" t="n">
        <x:f>D20-IF(E20="",0,E20)</x:f>
        <x:v>0</x:v>
      </x:c>
      <x:c r="G20" s="63" t="str">
        <x:f>IF(E20="","À payer",IF(F20=0,"À jour",IF(F20&gt;0,"Partiel","Crédit")))</x:f>
        <x:v>À jour</x:v>
      </x:c>
      <x:c r="H20" s="63" t="str"/>
      <x:c r="I20" t="str">
        <x:v>Du 16 au 19 du même mois</x:v>
      </x:c>
      <x:c r="J20" s="54" t="n">
        <x:v>46041</x:v>
      </x:c>
    </x:row>
    <x:row r="21">
      <x:c r="A21" s="62" t="n">
        <x:v>46071</x:v>
      </x:c>
      <x:c r="B21" s="63" t="str">
        <x:v>Février 2026</x:v>
      </x:c>
      <x:c r="C21" s="63" t="str">
        <x:v>UGB N°165855</x:v>
      </x:c>
      <x:c r="D21" s="64" t="n">
        <x:v>320000</x:v>
      </x:c>
      <x:c r="E21" s="64" t="n">
        <x:v>320000</x:v>
      </x:c>
      <x:c r="F21" s="64" t="n">
        <x:f>D21-IF(E21="",0,E21)</x:f>
        <x:v>0</x:v>
      </x:c>
      <x:c r="G21" s="63" t="str">
        <x:f>IF(E21="","À payer",IF(F21=0,"À jour",IF(F21&gt;0,"Partiel","Crédit")))</x:f>
        <x:v>À jour</x:v>
      </x:c>
      <x:c r="H21" s="63" t="str"/>
      <x:c r="I21" t="str">
        <x:v>Du 16 au 19 du même mois</x:v>
      </x:c>
      <x:c r="J21" s="54" t="n">
        <x:v>46072</x:v>
      </x:c>
    </x:row>
    <x:row r="22">
      <x:c r="A22" s="62" t="n">
        <x:v>46121</x:v>
      </x:c>
      <x:c r="B22" s="63" t="str">
        <x:v>Mars 2026</x:v>
      </x:c>
      <x:c r="C22" s="63" t="str"/>
      <x:c r="D22" s="64" t="n">
        <x:v>320000</x:v>
      </x:c>
      <x:c r="E22" s="64" t="n">
        <x:v>300000</x:v>
      </x:c>
      <x:c r="F22" s="64" t="n">
        <x:f>D22-IF(E22="",0,E22)</x:f>
        <x:v>20000</x:v>
      </x:c>
      <x:c r="G22" s="63" t="str">
        <x:f>IF(E22="","À payer",IF(F22=0,"À jour",IF(F22&gt;0,"Partiel","Crédit")))</x:f>
        <x:v>Partiel</x:v>
      </x:c>
      <x:c r="H22" s="63" t="str">
        <x:v>Payé avec trois semaines de retard et incomplet</x:v>
      </x:c>
      <x:c r="I22" t="str">
        <x:v>Du 16 au 19 du même mois</x:v>
      </x:c>
      <x:c r="J22" s="54" t="n">
        <x:v>46100</x:v>
      </x:c>
    </x:row>
    <x:row r="23">
      <x:c r="A23" s="62" t="n">
        <x:v>46161</x:v>
      </x:c>
      <x:c r="B23" s="63" t="str">
        <x:v>Mai 2026</x:v>
      </x:c>
      <x:c r="C23" s="63" t="str">
        <x:v>UGB N°169486</x:v>
      </x:c>
      <x:c r="D23" s="64" t="n">
        <x:v>320000</x:v>
      </x:c>
      <x:c r="E23" s="64" t="n">
        <x:v>320000</x:v>
      </x:c>
      <x:c r="F23" s="64" t="n">
        <x:f>D23-IF(E23="",0,E23)</x:f>
        <x:v>0</x:v>
      </x:c>
      <x:c r="G23" s="63" t="str">
        <x:f>IF(E23="","À payer",IF(F23=0,"À jour",IF(F23&gt;0,"Partiel","Crédit")))</x:f>
        <x:v>À jour</x:v>
      </x:c>
      <x:c r="H23" s="63" t="str">
        <x:v>Bordereau UGB fourni</x:v>
      </x:c>
      <x:c r="I23" s="60" t="str">
        <x:v>Du 16 au 19 du même mois</x:v>
      </x:c>
      <x:c r="J23" s="59" t="n">
        <x:v>46161</x:v>
      </x:c>
    </x:row>
    <x:row r="24">
      <x:c r="A24" s="62" t="n">
        <x:v>46189</x:v>
      </x:c>
      <x:c r="B24" s="63" t="str">
        <x:v>Juin 2026</x:v>
      </x:c>
      <x:c r="C24" s="63" t="str">
        <x:v>UGB N°170608</x:v>
      </x:c>
      <x:c r="D24" s="64" t="n">
        <x:v>320000</x:v>
      </x:c>
      <x:c r="E24" s="64" t="n">
        <x:v>320000</x:v>
      </x:c>
      <x:c r="F24" s="64" t="n">
        <x:f>D24-IF(E24="",0,E24)</x:f>
        <x:v>0</x:v>
      </x:c>
      <x:c r="G24" s="63" t="str">
        <x:f>IF(E24="","À payer",IF(F24=0,"À jour",IF(F24&gt;0,"Partiel","Crédit")))</x:f>
        <x:v>À jour</x:v>
      </x:c>
      <x:c r="H24" s="63" t="str">
        <x:v>Bordereau UGB fourni</x:v>
      </x:c>
      <x:c r="I24" s="60" t="str">
        <x:v>Du 16 au 19 du même mois</x:v>
      </x:c>
      <x:c r="J24" s="59" t="n">
        <x:v>46192</x:v>
      </x:c>
    </x:row>
    <x:row r="25">
      <x:c r="A25" s="62" t="n">
        <x:v>46220</x:v>
      </x:c>
      <x:c r="B25" s="63" t="str">
        <x:v>Juillet 2026</x:v>
      </x:c>
      <x:c r="C25" s="63" t="str">
        <x:v>UGB N°172355</x:v>
      </x:c>
      <x:c r="D25" s="64" t="n">
        <x:v>320000</x:v>
      </x:c>
      <x:c r="E25" s="64" t="n">
        <x:v>320000</x:v>
      </x:c>
      <x:c r="F25" s="64" t="n">
        <x:f>D25-IF(E25="",0,E25)</x:f>
        <x:v>0</x:v>
      </x:c>
      <x:c r="G25" s="63" t="str">
        <x:f>IF(E25="","À payer",IF(F25=0,"À jour",IF(F25&gt;0,"Partiel","Crédit")))</x:f>
        <x:v>À jour</x:v>
      </x:c>
      <x:c r="H25" s="63" t="str">
        <x:v>Bordereau UGB fourni</x:v>
      </x:c>
      <x:c r="I25" s="60" t="str">
        <x:v>Du 16 au 19 du même mois</x:v>
      </x:c>
      <x:c r="J25" s="59" t="n">
        <x:v>46222</x:v>
      </x:c>
    </x:row>
  </x:sheetData>
  <x:mergeCells>
    <x:mergeCell ref="A1:H1"/>
    <x:mergeCell ref="A2:H2"/>
    <x:mergeCell ref="D6:H7"/>
    <x:mergeCell ref="A9:H9"/>
    <x:mergeCell ref="A8:J8"/>
    <x:mergeCell ref="D5:H6"/>
  </x:mergeCells>
  <x:conditionalFormatting sqref="E12:E25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{D60E2E69-6F2D-A6CD-4215-E924441A76F0}</x14:id>
        </x:ext>
      </x:extLst>
    </x:cfRule>
  </x:conditionalFormatting>
  <x:conditionalFormatting sqref="F12:F25">
    <x:cfRule type="expression" dxfId="0" priority="2">
      <x:formula>F12&gt;0</x:formula>
    </x:cfRule>
  </x:conditionalFormatting>
  <x:conditionalFormatting sqref="G12:G25">
    <x:cfRule type="expression" dxfId="1" priority="3">
      <x:formula>G12="À jour"</x:formula>
    </x:cfRule>
    <x:cfRule type="expression" dxfId="2" priority="4">
      <x:formula>G12="Partiel"</x:formula>
    </x:cfRule>
    <x:cfRule type="expression" dxfId="3" priority="5">
      <x:formula>G12="À payer"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531e8d943004e8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60E2E69-6F2D-A6CD-4215-E924441A76F0}">
            <x14:dataBar gradient="1">
              <x14:cfvo type="min"/>
              <x14:cfvo type="max"/>
              <x14:fillColor rgb="FF0F766E"/>
            </x14:dataBar>
          </x14:cfRule>
          <xm:sqref>E12:E25</xm:sqref>
        </x14:conditionalFormatting>
      </x14:conditionalFormattings>
    </x:ext>
  </x:extLst>
</x:worksheet>
</file>